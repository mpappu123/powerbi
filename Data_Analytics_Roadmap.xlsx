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4130d715aa372a15/Desktop/"/>
    </mc:Choice>
  </mc:AlternateContent>
  <xr:revisionPtr revIDLastSave="9" documentId="11_203C768BF18B65AE851ED3CD45F42FCCA2CB6FEA" xr6:coauthVersionLast="47" xr6:coauthVersionMax="47" xr10:uidLastSave="{7295983D-7E4B-44B6-8766-D54F8016F914}"/>
  <bookViews>
    <workbookView xWindow="0" yWindow="0" windowWidth="23040" windowHeight="12240" tabRatio="500" activeTab="1" xr2:uid="{00000000-000D-0000-FFFF-FFFF00000000}"/>
  </bookViews>
  <sheets>
    <sheet name="Roadmap" sheetId="1" r:id="rId1"/>
    <sheet name="Weekly Plan" sheetId="2" r:id="rId2"/>
    <sheet name="Progress" sheetId="3" r:id="rId3"/>
    <sheet name="Projects" sheetId="4" r:id="rId4"/>
    <sheet name="Resources" sheetId="5" r:id="rId5"/>
    <sheet name="Interview Prep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3" l="1"/>
  <c r="B7" i="3"/>
  <c r="C6" i="3"/>
  <c r="B6" i="3"/>
  <c r="C5" i="3"/>
  <c r="B5" i="3"/>
  <c r="C4" i="3"/>
  <c r="B4" i="3"/>
  <c r="C3" i="3"/>
  <c r="B3" i="3"/>
  <c r="C2" i="3"/>
  <c r="B2" i="3"/>
  <c r="C8" i="3" l="1"/>
  <c r="D3" i="3"/>
  <c r="D2" i="3"/>
  <c r="D4" i="3"/>
  <c r="D5" i="3"/>
  <c r="D6" i="3"/>
  <c r="D7" i="3"/>
  <c r="B8" i="3"/>
  <c r="D8" i="3" l="1"/>
</calcChain>
</file>

<file path=xl/sharedStrings.xml><?xml version="1.0" encoding="utf-8"?>
<sst xmlns="http://schemas.openxmlformats.org/spreadsheetml/2006/main" count="261" uniqueCount="167">
  <si>
    <t>Month</t>
  </si>
  <si>
    <t>Focus</t>
  </si>
  <si>
    <t>Kya seekhna hai</t>
  </si>
  <si>
    <t>Tools</t>
  </si>
  <si>
    <t>Month ke end tak goal</t>
  </si>
  <si>
    <t>Month 1</t>
  </si>
  <si>
    <t>Excel + SQL basics</t>
  </si>
  <si>
    <t>Formulas, Lookups, Pivot Tables, Charts, Data Cleaning, SQL SELECT/WHERE/GROUP BY</t>
  </si>
  <si>
    <t>Excel, SQLite ya MySQL/PostgreSQL</t>
  </si>
  <si>
    <t>Ek clean Excel dashboard + 20 SQL questions solve</t>
  </si>
  <si>
    <t>Month 2</t>
  </si>
  <si>
    <t>SQL (advanced)</t>
  </si>
  <si>
    <t>JOINs, Subqueries, CTEs, CASE WHEN, Window Functions, Date functions</t>
  </si>
  <si>
    <t>PostgreSQL / MySQL, LeetCode SQL, HackerRank</t>
  </si>
  <si>
    <t>SQL project + 50 practice questions</t>
  </si>
  <si>
    <t>Month 3</t>
  </si>
  <si>
    <t>Python for Data</t>
  </si>
  <si>
    <t>Pandas, NumPy, Data Cleaning, EDA, Matplotlib/Seaborn</t>
  </si>
  <si>
    <t>Jupyter Notebook / Google Colab, Kaggle</t>
  </si>
  <si>
    <t>Ek full Python analysis project (Kaggle dataset)</t>
  </si>
  <si>
    <t>Month 4</t>
  </si>
  <si>
    <t>Power BI (ya Tableau)</t>
  </si>
  <si>
    <t>Power Query, Data Model, DAX basics, Dashboard design</t>
  </si>
  <si>
    <t>Power BI Desktop (free)</t>
  </si>
  <si>
    <t>Ek professional dashboard, publish ya screenshots</t>
  </si>
  <si>
    <t>Month 5</t>
  </si>
  <si>
    <t>Statistics + Business sense</t>
  </si>
  <si>
    <t>Mean/Median/Std, Correlation, Hypothesis testing, A/B testing, KPIs, Storytelling</t>
  </si>
  <si>
    <t>Python, Excel, Khan Academy</t>
  </si>
  <si>
    <t>Final end-to-end project (SQL + Python + Power BI)</t>
  </si>
  <si>
    <t>Month 6</t>
  </si>
  <si>
    <t>Job preparation</t>
  </si>
  <si>
    <t>Resume, LinkedIn, GitHub portfolio, Interview prep, Mock interviews, Applications</t>
  </si>
  <si>
    <t>LinkedIn, Naukri, Internshala, Indeed</t>
  </si>
  <si>
    <t>Roz applications + interviews shuru</t>
  </si>
  <si>
    <t>Rules:</t>
  </si>
  <si>
    <t>1. Roz kam se kam 2-3 ghante practice karo (weekly 15-20 ghante). Sirf video dekhna kaafi nahi hai.</t>
  </si>
  <si>
    <t>2. 6 mahine tak path mat badlo. Month 3 par check karo ki data ka kaam pasand aa raha hai ya nahi.</t>
  </si>
  <si>
    <t>3. AI ka use samajhne aur debug karne ke liye karo, lekin code khud likhkar practice karo.</t>
  </si>
  <si>
    <t>4. Har project GitHub par daalo aur likho: problem kya thi, kya kiya, kya insight mili.</t>
  </si>
  <si>
    <t>Week</t>
  </si>
  <si>
    <t>Topic area</t>
  </si>
  <si>
    <t>Practice / Target</t>
  </si>
  <si>
    <t>Hours</t>
  </si>
  <si>
    <t>Status</t>
  </si>
  <si>
    <t>Excel</t>
  </si>
  <si>
    <t>Excel basics: formatting, sort, filter, SUM/AVERAGE/COUNT/IF, absolute reference</t>
  </si>
  <si>
    <t>Ek sales dataset download karke clean aur format karo</t>
  </si>
  <si>
    <t>Not Started</t>
  </si>
  <si>
    <t>VLOOKUP / INDEX-MATCH, SUMIFS, COUNTIFS, text aur date functions</t>
  </si>
  <si>
    <t>10 lookup + conditional sum problems solve karo</t>
  </si>
  <si>
    <t>Pivot tables, charts, remove duplicates, text to columns, conditional formatting</t>
  </si>
  <si>
    <t>Ek 1-page Excel dashboard banao</t>
  </si>
  <si>
    <t>SQL</t>
  </si>
  <si>
    <t>Database kya hai, SELECT, WHERE, ORDER BY, LIMIT, COUNT/SUM/AVG</t>
  </si>
  <si>
    <t>SQLBolt ke saare lessons + 15 easy questions</t>
  </si>
  <si>
    <t>GROUP BY, HAVING, INNER/LEFT JOIN, multiple tables</t>
  </si>
  <si>
    <t>20 questions (JOINs par focus)</t>
  </si>
  <si>
    <t>Subqueries, CTEs, CASE WHEN, string aur date functions</t>
  </si>
  <si>
    <t>20 medium questions</t>
  </si>
  <si>
    <t>Window functions: ROW_NUMBER, RANK, LAG/LEAD, running total</t>
  </si>
  <si>
    <t>15 window function questions</t>
  </si>
  <si>
    <t>SQL project: kisi dataset par 10 business sawal SQL se solve karo</t>
  </si>
  <si>
    <t>GitHub par SQL project upload karo</t>
  </si>
  <si>
    <t>Python</t>
  </si>
  <si>
    <t>Python refresh (list, dict, loops, functions) + Pandas basics: DataFrame, read_csv</t>
  </si>
  <si>
    <t>Kaggle Learn: Python + Pandas course</t>
  </si>
  <si>
    <t>Pandas: filter, groupby, merge, missing values, duplicates, data types</t>
  </si>
  <si>
    <t>Ek messy dataset ko clean karo</t>
  </si>
  <si>
    <t>NumPy basics, EDA, Matplotlib aur Seaborn charts</t>
  </si>
  <si>
    <t>Ek dataset ke 8-10 charts banao aur insights likho</t>
  </si>
  <si>
    <t>Python project: end-to-end analysis (clean, explore, visualize, conclude)</t>
  </si>
  <si>
    <t>Jupyter notebook GitHub par upload karo</t>
  </si>
  <si>
    <t>Power BI</t>
  </si>
  <si>
    <t>Power BI install, data import, Power Query cleaning, data model</t>
  </si>
  <si>
    <t>Ek dataset load karke clean karo</t>
  </si>
  <si>
    <t>DAX basics: measures, CALCULATE, SUM/COUNT, relationships, date table</t>
  </si>
  <si>
    <t>10 DAX measures likho</t>
  </si>
  <si>
    <t>Dashboard design: KPI cards, slicers, bar/line/map charts, layout</t>
  </si>
  <si>
    <t>Ek dashboard banao (sales ya HR)</t>
  </si>
  <si>
    <t>Power BI project: polished dashboard + insights page</t>
  </si>
  <si>
    <t>Screenshots aur .pbix GitHub par daalo</t>
  </si>
  <si>
    <t>Statistics</t>
  </si>
  <si>
    <t>Mean, median, mode, std deviation, distributions, outliers</t>
  </si>
  <si>
    <t>Khan Academy Statistics basics complete karo</t>
  </si>
  <si>
    <t>Correlation, hypothesis testing (basic), A/B testing ka idea</t>
  </si>
  <si>
    <t>Python me ek A/B test example karo</t>
  </si>
  <si>
    <t>Business</t>
  </si>
  <si>
    <t>KPIs: revenue, retention, churn, conversion rate; data storytelling</t>
  </si>
  <si>
    <t>3 business sawal ka analysis likho</t>
  </si>
  <si>
    <t>Project</t>
  </si>
  <si>
    <t>Final project: SQL + Python + Power BI ek saath (end-to-end)</t>
  </si>
  <si>
    <t>Case study likho aur portfolio me daalo</t>
  </si>
  <si>
    <t>Job</t>
  </si>
  <si>
    <t>Resume, LinkedIn profile, GitHub README, portfolio</t>
  </si>
  <si>
    <t>Resume 1 page, projects link ke saath</t>
  </si>
  <si>
    <t>Interview prep: SQL, Excel, Python, case aur behavioral sawal</t>
  </si>
  <si>
    <t>30 interview questions ke jawab likho</t>
  </si>
  <si>
    <t>Mock interviews, roz 5-10 applications, referrals ke liye networking</t>
  </si>
  <si>
    <t>Roz apply karo aur tracker me likho</t>
  </si>
  <si>
    <t>Applications + follow-up, internship/freelance, weak topics revise</t>
  </si>
  <si>
    <t>Interviews attend karo aur feedback se seekho</t>
  </si>
  <si>
    <t>Total weeks</t>
  </si>
  <si>
    <t>Weeks done</t>
  </si>
  <si>
    <t>Progress %</t>
  </si>
  <si>
    <t>Total</t>
  </si>
  <si>
    <t>Kaise use kare: 'Weekly Plan' sheet me Status column ko Done / In Progress / Not Started karo. Yahan progress apne aap update hoga.</t>
  </si>
  <si>
    <t>Kab</t>
  </si>
  <si>
    <t>Dataset idea</t>
  </si>
  <si>
    <t>Skills use hongi</t>
  </si>
  <si>
    <t>Kaunsa sawal solve karna hai</t>
  </si>
  <si>
    <t>1. Excel Sales Dashboard</t>
  </si>
  <si>
    <t>Superstore Sales (Kaggle)</t>
  </si>
  <si>
    <t>Pivot tables, charts, slicers</t>
  </si>
  <si>
    <t>Kaunsa region/product sabse zyada profit deta hai? Kahan loss hai?</t>
  </si>
  <si>
    <t>2. SQL Business Analysis</t>
  </si>
  <si>
    <t>Olist E-commerce ya Chinook / Northwind DB</t>
  </si>
  <si>
    <t>JOINs, CTEs, window functions</t>
  </si>
  <si>
    <t>Top customers, monthly revenue trend, repeat customer rate</t>
  </si>
  <si>
    <t>3. Python EDA Project</t>
  </si>
  <si>
    <t>Kaggle: Titanic nahi, kuch real jaise Netflix, Zomato ya Airbnb dataset</t>
  </si>
  <si>
    <t>Pandas, cleaning, Seaborn charts</t>
  </si>
  <si>
    <t>Kya patterns hain? Business ko kya recommend karoge?</t>
  </si>
  <si>
    <t>4. Power BI Dashboard</t>
  </si>
  <si>
    <t>HR Attrition ya Sales dataset</t>
  </si>
  <si>
    <t>Power Query, DAX, KPI design</t>
  </si>
  <si>
    <t>Employees kyun chhod rahe hain? Kis department me zyada?</t>
  </si>
  <si>
    <t>5. Final End-to-End Case Study</t>
  </si>
  <si>
    <t>Koi bhi real dataset (data.gov.in, Kaggle)</t>
  </si>
  <si>
    <t>SQL + Python + Power BI</t>
  </si>
  <si>
    <t>Ek business problem choose karo, poora analysis karo aur report likho</t>
  </si>
  <si>
    <t>Tip: Har project ke README me likho: Problem, Data, Steps, Insights, Recommendation. Interviewer yahi padhta hai.</t>
  </si>
  <si>
    <t>Topic</t>
  </si>
  <si>
    <t>Kahan se seekhe</t>
  </si>
  <si>
    <t>Cost</t>
  </si>
  <si>
    <t>Chandoo.org, ExcelIsFun (YouTube), Microsoft Excel help</t>
  </si>
  <si>
    <t>Free</t>
  </si>
  <si>
    <t>SQLBolt, Mode SQL Tutorial, W3Schools SQL, LeetCode / HackerRank SQL practice</t>
  </si>
  <si>
    <t>Kaggle Learn (Python, Pandas, Data Visualization), freeCodeCamp Data Analysis with Python</t>
  </si>
  <si>
    <t>Microsoft Learn (PL-300 learning path), Guy in a Cube (YouTube)</t>
  </si>
  <si>
    <t>Khan Academy Statistics and Probability</t>
  </si>
  <si>
    <t>Datasets</t>
  </si>
  <si>
    <t>Kaggle Datasets, data.gov.in, Google Dataset Search</t>
  </si>
  <si>
    <t>Job search</t>
  </si>
  <si>
    <t>LinkedIn, Naukri, Internshala, Indeed, company career pages</t>
  </si>
  <si>
    <t>Portfolio</t>
  </si>
  <si>
    <t>GitHub (projects), LinkedIn (posts), Kaggle profile</t>
  </si>
  <si>
    <t>Area</t>
  </si>
  <si>
    <t>Common questions</t>
  </si>
  <si>
    <t>Tip</t>
  </si>
  <si>
    <t>VLOOKUP aur INDEX-MATCH me kya difference hai? Pivot table kab use karte ho?</t>
  </si>
  <si>
    <t>Live example ke saath explain karna seekho.</t>
  </si>
  <si>
    <t>INNER vs LEFT JOIN? WHERE vs HAVING? Second highest salary nikalo. Running total kaise nikalte ho?</t>
  </si>
  <si>
    <t>Sabse zyada poochha jaata hai. Roz practice karo.</t>
  </si>
  <si>
    <t>Pandas me missing values kaise handle karte ho? merge vs join? groupby kaise kaam karta hai?</t>
  </si>
  <si>
    <t>Apne project ke example se jawab do.</t>
  </si>
  <si>
    <t>DAX me calculated column vs measure? Relationships kaise banate ho? Dashboard kaise design kiya?</t>
  </si>
  <si>
    <t>Apna dashboard dikhane ke liye ready raho.</t>
  </si>
  <si>
    <t>Mean vs median kab? Correlation aur causation me difference? A/B test kya hai?</t>
  </si>
  <si>
    <t>Simple language me samjhao.</t>
  </si>
  <si>
    <t>Business case</t>
  </si>
  <si>
    <t>Sales gir rahi hai to kaise analyze karoge? Kaunse KPIs dekhoge?</t>
  </si>
  <si>
    <t>Pehle sawal samjho, phir data aur steps batao.</t>
  </si>
  <si>
    <t>Behavioral</t>
  </si>
  <si>
    <t>Apne project ke baare me batao. Koi mushkil problem jo solve ki.</t>
  </si>
  <si>
    <t>STAR format: Situation, Task, Action, Result.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</si>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</sst>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6" customWidth="1"/>
    <col min="3" max="3" width="55" customWidth="1"/>
    <col min="4" max="4" width="34" customWidth="1"/>
    <col min="5" max="5" width="42" customWidth="1"/>
  </cols>
  <sheetData>
    <row r="1" spans="1:5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8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8" customHeight="1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48" customHeight="1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48" customHeight="1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48" customHeight="1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48" customHeight="1" x14ac:dyDescent="0.3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9" spans="1:5" x14ac:dyDescent="0.3">
      <c r="A9" s="4" t="s">
        <v>35</v>
      </c>
    </row>
    <row r="10" spans="1:5" x14ac:dyDescent="0.3">
      <c r="A10" s="15" t="s">
        <v>36</v>
      </c>
      <c r="B10" s="15"/>
      <c r="C10" s="15"/>
      <c r="D10" s="15"/>
      <c r="E10" s="15"/>
    </row>
    <row r="11" spans="1:5" x14ac:dyDescent="0.3">
      <c r="A11" s="15" t="s">
        <v>37</v>
      </c>
      <c r="B11" s="15"/>
      <c r="C11" s="15"/>
      <c r="D11" s="15"/>
      <c r="E11" s="15"/>
    </row>
    <row r="12" spans="1:5" x14ac:dyDescent="0.3">
      <c r="A12" s="15" t="s">
        <v>38</v>
      </c>
      <c r="B12" s="15"/>
      <c r="C12" s="15"/>
      <c r="D12" s="15"/>
      <c r="E12" s="15"/>
    </row>
    <row r="13" spans="1:5" x14ac:dyDescent="0.3">
      <c r="A13" s="15" t="s">
        <v>39</v>
      </c>
      <c r="B13" s="15"/>
      <c r="C13" s="15"/>
      <c r="D13" s="15"/>
      <c r="E13" s="15"/>
    </row>
  </sheetData>
  <mergeCells count="4">
    <mergeCell ref="A10:E10"/>
    <mergeCell ref="A11:E11"/>
    <mergeCell ref="A12:E12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zoomScaleNormal="100" workbookViewId="0">
      <pane ySplit="1" topLeftCell="A2" activePane="bottomLeft" state="frozen"/>
      <selection pane="bottomLeft" activeCell="J14" sqref="J14"/>
    </sheetView>
  </sheetViews>
  <sheetFormatPr defaultColWidth="8.6640625" defaultRowHeight="14.4" x14ac:dyDescent="0.3"/>
  <cols>
    <col min="1" max="1" width="8" customWidth="1"/>
    <col min="2" max="2" width="11" customWidth="1"/>
    <col min="3" max="3" width="13" customWidth="1"/>
    <col min="4" max="4" width="58" customWidth="1"/>
    <col min="5" max="5" width="44" customWidth="1"/>
    <col min="6" max="6" width="9" customWidth="1"/>
    <col min="7" max="7" width="15" customWidth="1"/>
  </cols>
  <sheetData>
    <row r="1" spans="1:7" ht="25.5" customHeight="1" x14ac:dyDescent="0.3">
      <c r="A1" s="1" t="s">
        <v>40</v>
      </c>
      <c r="B1" s="1" t="s">
        <v>0</v>
      </c>
      <c r="C1" s="1" t="s">
        <v>41</v>
      </c>
      <c r="D1" s="1" t="s">
        <v>2</v>
      </c>
      <c r="E1" s="1" t="s">
        <v>42</v>
      </c>
      <c r="F1" s="1" t="s">
        <v>43</v>
      </c>
      <c r="G1" s="1" t="s">
        <v>44</v>
      </c>
    </row>
    <row r="2" spans="1:7" ht="43.5" customHeight="1" x14ac:dyDescent="0.3">
      <c r="A2" s="5">
        <v>1</v>
      </c>
      <c r="B2" s="2" t="s">
        <v>5</v>
      </c>
      <c r="C2" s="2" t="s">
        <v>45</v>
      </c>
      <c r="D2" s="2" t="s">
        <v>46</v>
      </c>
      <c r="E2" s="2" t="s">
        <v>47</v>
      </c>
      <c r="F2" s="5">
        <v>15</v>
      </c>
      <c r="G2" s="5" t="s">
        <v>166</v>
      </c>
    </row>
    <row r="3" spans="1:7" ht="43.5" customHeight="1" x14ac:dyDescent="0.3">
      <c r="A3" s="6">
        <v>2</v>
      </c>
      <c r="B3" s="3" t="s">
        <v>5</v>
      </c>
      <c r="C3" s="3" t="s">
        <v>45</v>
      </c>
      <c r="D3" s="3" t="s">
        <v>49</v>
      </c>
      <c r="E3" s="3" t="s">
        <v>50</v>
      </c>
      <c r="F3" s="6">
        <v>15</v>
      </c>
      <c r="G3" s="6" t="s">
        <v>166</v>
      </c>
    </row>
    <row r="4" spans="1:7" ht="43.5" customHeight="1" x14ac:dyDescent="0.3">
      <c r="A4" s="5">
        <v>3</v>
      </c>
      <c r="B4" s="2" t="s">
        <v>5</v>
      </c>
      <c r="C4" s="2" t="s">
        <v>45</v>
      </c>
      <c r="D4" s="2" t="s">
        <v>51</v>
      </c>
      <c r="E4" s="2" t="s">
        <v>52</v>
      </c>
      <c r="F4" s="5">
        <v>15</v>
      </c>
      <c r="G4" s="5" t="s">
        <v>166</v>
      </c>
    </row>
    <row r="5" spans="1:7" ht="43.5" customHeight="1" x14ac:dyDescent="0.3">
      <c r="A5" s="6">
        <v>4</v>
      </c>
      <c r="B5" s="3" t="s">
        <v>5</v>
      </c>
      <c r="C5" s="3" t="s">
        <v>53</v>
      </c>
      <c r="D5" s="3" t="s">
        <v>54</v>
      </c>
      <c r="E5" s="3" t="s">
        <v>55</v>
      </c>
      <c r="F5" s="6">
        <v>15</v>
      </c>
      <c r="G5" s="6" t="s">
        <v>166</v>
      </c>
    </row>
    <row r="6" spans="1:7" ht="43.5" customHeight="1" x14ac:dyDescent="0.3">
      <c r="A6" s="5">
        <v>5</v>
      </c>
      <c r="B6" s="2" t="s">
        <v>10</v>
      </c>
      <c r="C6" s="2" t="s">
        <v>53</v>
      </c>
      <c r="D6" s="2" t="s">
        <v>56</v>
      </c>
      <c r="E6" s="2" t="s">
        <v>57</v>
      </c>
      <c r="F6" s="5">
        <v>15</v>
      </c>
      <c r="G6" s="5" t="s">
        <v>48</v>
      </c>
    </row>
    <row r="7" spans="1:7" ht="43.5" customHeight="1" x14ac:dyDescent="0.3">
      <c r="A7" s="6">
        <v>6</v>
      </c>
      <c r="B7" s="3" t="s">
        <v>10</v>
      </c>
      <c r="C7" s="3" t="s">
        <v>53</v>
      </c>
      <c r="D7" s="3" t="s">
        <v>58</v>
      </c>
      <c r="E7" s="3" t="s">
        <v>59</v>
      </c>
      <c r="F7" s="6">
        <v>15</v>
      </c>
      <c r="G7" s="6" t="s">
        <v>48</v>
      </c>
    </row>
    <row r="8" spans="1:7" ht="43.5" customHeight="1" x14ac:dyDescent="0.3">
      <c r="A8" s="5">
        <v>7</v>
      </c>
      <c r="B8" s="2" t="s">
        <v>10</v>
      </c>
      <c r="C8" s="2" t="s">
        <v>53</v>
      </c>
      <c r="D8" s="2" t="s">
        <v>60</v>
      </c>
      <c r="E8" s="2" t="s">
        <v>61</v>
      </c>
      <c r="F8" s="5">
        <v>15</v>
      </c>
      <c r="G8" s="5" t="s">
        <v>48</v>
      </c>
    </row>
    <row r="9" spans="1:7" ht="43.5" customHeight="1" x14ac:dyDescent="0.3">
      <c r="A9" s="6">
        <v>8</v>
      </c>
      <c r="B9" s="3" t="s">
        <v>10</v>
      </c>
      <c r="C9" s="3" t="s">
        <v>53</v>
      </c>
      <c r="D9" s="3" t="s">
        <v>62</v>
      </c>
      <c r="E9" s="3" t="s">
        <v>63</v>
      </c>
      <c r="F9" s="6">
        <v>18</v>
      </c>
      <c r="G9" s="6" t="s">
        <v>48</v>
      </c>
    </row>
    <row r="10" spans="1:7" ht="43.5" customHeight="1" x14ac:dyDescent="0.3">
      <c r="A10" s="5">
        <v>9</v>
      </c>
      <c r="B10" s="2" t="s">
        <v>15</v>
      </c>
      <c r="C10" s="2" t="s">
        <v>64</v>
      </c>
      <c r="D10" s="2" t="s">
        <v>65</v>
      </c>
      <c r="E10" s="2" t="s">
        <v>66</v>
      </c>
      <c r="F10" s="5">
        <v>15</v>
      </c>
      <c r="G10" s="5" t="s">
        <v>166</v>
      </c>
    </row>
    <row r="11" spans="1:7" ht="43.5" customHeight="1" x14ac:dyDescent="0.3">
      <c r="A11" s="6">
        <v>10</v>
      </c>
      <c r="B11" s="3" t="s">
        <v>15</v>
      </c>
      <c r="C11" s="3" t="s">
        <v>64</v>
      </c>
      <c r="D11" s="3" t="s">
        <v>67</v>
      </c>
      <c r="E11" s="3" t="s">
        <v>68</v>
      </c>
      <c r="F11" s="6">
        <v>15</v>
      </c>
      <c r="G11" s="6" t="s">
        <v>48</v>
      </c>
    </row>
    <row r="12" spans="1:7" ht="43.5" customHeight="1" x14ac:dyDescent="0.3">
      <c r="A12" s="5">
        <v>11</v>
      </c>
      <c r="B12" s="2" t="s">
        <v>15</v>
      </c>
      <c r="C12" s="2" t="s">
        <v>64</v>
      </c>
      <c r="D12" s="2" t="s">
        <v>69</v>
      </c>
      <c r="E12" s="2" t="s">
        <v>70</v>
      </c>
      <c r="F12" s="5">
        <v>15</v>
      </c>
      <c r="G12" s="5" t="s">
        <v>48</v>
      </c>
    </row>
    <row r="13" spans="1:7" ht="43.5" customHeight="1" x14ac:dyDescent="0.3">
      <c r="A13" s="6">
        <v>12</v>
      </c>
      <c r="B13" s="3" t="s">
        <v>15</v>
      </c>
      <c r="C13" s="3" t="s">
        <v>64</v>
      </c>
      <c r="D13" s="3" t="s">
        <v>71</v>
      </c>
      <c r="E13" s="3" t="s">
        <v>72</v>
      </c>
      <c r="F13" s="6">
        <v>18</v>
      </c>
      <c r="G13" s="6" t="s">
        <v>48</v>
      </c>
    </row>
    <row r="14" spans="1:7" ht="43.5" customHeight="1" x14ac:dyDescent="0.3">
      <c r="A14" s="5">
        <v>13</v>
      </c>
      <c r="B14" s="2" t="s">
        <v>20</v>
      </c>
      <c r="C14" s="2" t="s">
        <v>73</v>
      </c>
      <c r="D14" s="2" t="s">
        <v>74</v>
      </c>
      <c r="E14" s="2" t="s">
        <v>75</v>
      </c>
      <c r="F14" s="5">
        <v>15</v>
      </c>
      <c r="G14" s="5" t="s">
        <v>166</v>
      </c>
    </row>
    <row r="15" spans="1:7" ht="43.5" customHeight="1" x14ac:dyDescent="0.3">
      <c r="A15" s="6">
        <v>14</v>
      </c>
      <c r="B15" s="3" t="s">
        <v>20</v>
      </c>
      <c r="C15" s="3" t="s">
        <v>73</v>
      </c>
      <c r="D15" s="3" t="s">
        <v>76</v>
      </c>
      <c r="E15" s="3" t="s">
        <v>77</v>
      </c>
      <c r="F15" s="6">
        <v>15</v>
      </c>
      <c r="G15" s="6" t="s">
        <v>166</v>
      </c>
    </row>
    <row r="16" spans="1:7" ht="43.5" customHeight="1" x14ac:dyDescent="0.3">
      <c r="A16" s="5">
        <v>15</v>
      </c>
      <c r="B16" s="2" t="s">
        <v>20</v>
      </c>
      <c r="C16" s="2" t="s">
        <v>73</v>
      </c>
      <c r="D16" s="2" t="s">
        <v>78</v>
      </c>
      <c r="E16" s="2" t="s">
        <v>79</v>
      </c>
      <c r="F16" s="5">
        <v>15</v>
      </c>
      <c r="G16" s="5" t="s">
        <v>48</v>
      </c>
    </row>
    <row r="17" spans="1:7" ht="43.5" customHeight="1" x14ac:dyDescent="0.3">
      <c r="A17" s="6">
        <v>16</v>
      </c>
      <c r="B17" s="3" t="s">
        <v>20</v>
      </c>
      <c r="C17" s="3" t="s">
        <v>73</v>
      </c>
      <c r="D17" s="3" t="s">
        <v>80</v>
      </c>
      <c r="E17" s="3" t="s">
        <v>81</v>
      </c>
      <c r="F17" s="6">
        <v>18</v>
      </c>
      <c r="G17" s="6" t="s">
        <v>48</v>
      </c>
    </row>
    <row r="18" spans="1:7" ht="43.5" customHeight="1" x14ac:dyDescent="0.3">
      <c r="A18" s="5">
        <v>17</v>
      </c>
      <c r="B18" s="2" t="s">
        <v>25</v>
      </c>
      <c r="C18" s="2" t="s">
        <v>82</v>
      </c>
      <c r="D18" s="2" t="s">
        <v>83</v>
      </c>
      <c r="E18" s="2" t="s">
        <v>84</v>
      </c>
      <c r="F18" s="5">
        <v>12</v>
      </c>
      <c r="G18" s="5" t="s">
        <v>48</v>
      </c>
    </row>
    <row r="19" spans="1:7" ht="43.5" customHeight="1" x14ac:dyDescent="0.3">
      <c r="A19" s="6">
        <v>18</v>
      </c>
      <c r="B19" s="3" t="s">
        <v>25</v>
      </c>
      <c r="C19" s="3" t="s">
        <v>82</v>
      </c>
      <c r="D19" s="3" t="s">
        <v>85</v>
      </c>
      <c r="E19" s="3" t="s">
        <v>86</v>
      </c>
      <c r="F19" s="6">
        <v>12</v>
      </c>
      <c r="G19" s="6" t="s">
        <v>48</v>
      </c>
    </row>
    <row r="20" spans="1:7" ht="43.5" customHeight="1" x14ac:dyDescent="0.3">
      <c r="A20" s="5">
        <v>19</v>
      </c>
      <c r="B20" s="2" t="s">
        <v>25</v>
      </c>
      <c r="C20" s="2" t="s">
        <v>87</v>
      </c>
      <c r="D20" s="2" t="s">
        <v>88</v>
      </c>
      <c r="E20" s="2" t="s">
        <v>89</v>
      </c>
      <c r="F20" s="5">
        <v>12</v>
      </c>
      <c r="G20" s="5" t="s">
        <v>48</v>
      </c>
    </row>
    <row r="21" spans="1:7" ht="43.5" customHeight="1" x14ac:dyDescent="0.3">
      <c r="A21" s="6">
        <v>20</v>
      </c>
      <c r="B21" s="3" t="s">
        <v>25</v>
      </c>
      <c r="C21" s="3" t="s">
        <v>90</v>
      </c>
      <c r="D21" s="3" t="s">
        <v>91</v>
      </c>
      <c r="E21" s="3" t="s">
        <v>92</v>
      </c>
      <c r="F21" s="6">
        <v>20</v>
      </c>
      <c r="G21" s="6" t="s">
        <v>48</v>
      </c>
    </row>
    <row r="22" spans="1:7" ht="43.5" customHeight="1" x14ac:dyDescent="0.3">
      <c r="A22" s="5">
        <v>21</v>
      </c>
      <c r="B22" s="2" t="s">
        <v>30</v>
      </c>
      <c r="C22" s="2" t="s">
        <v>93</v>
      </c>
      <c r="D22" s="2" t="s">
        <v>94</v>
      </c>
      <c r="E22" s="2" t="s">
        <v>95</v>
      </c>
      <c r="F22" s="5">
        <v>15</v>
      </c>
      <c r="G22" s="5" t="s">
        <v>48</v>
      </c>
    </row>
    <row r="23" spans="1:7" ht="43.5" customHeight="1" x14ac:dyDescent="0.3">
      <c r="A23" s="6">
        <v>22</v>
      </c>
      <c r="B23" s="3" t="s">
        <v>30</v>
      </c>
      <c r="C23" s="3" t="s">
        <v>93</v>
      </c>
      <c r="D23" s="3" t="s">
        <v>96</v>
      </c>
      <c r="E23" s="3" t="s">
        <v>97</v>
      </c>
      <c r="F23" s="6">
        <v>15</v>
      </c>
      <c r="G23" s="6" t="s">
        <v>48</v>
      </c>
    </row>
    <row r="24" spans="1:7" ht="43.5" customHeight="1" x14ac:dyDescent="0.3">
      <c r="A24" s="5">
        <v>23</v>
      </c>
      <c r="B24" s="2" t="s">
        <v>30</v>
      </c>
      <c r="C24" s="2" t="s">
        <v>93</v>
      </c>
      <c r="D24" s="2" t="s">
        <v>98</v>
      </c>
      <c r="E24" s="2" t="s">
        <v>99</v>
      </c>
      <c r="F24" s="5">
        <v>15</v>
      </c>
      <c r="G24" s="5" t="s">
        <v>48</v>
      </c>
    </row>
    <row r="25" spans="1:7" ht="43.5" customHeight="1" x14ac:dyDescent="0.3">
      <c r="A25" s="6">
        <v>24</v>
      </c>
      <c r="B25" s="3" t="s">
        <v>30</v>
      </c>
      <c r="C25" s="3" t="s">
        <v>93</v>
      </c>
      <c r="D25" s="3" t="s">
        <v>100</v>
      </c>
      <c r="E25" s="3" t="s">
        <v>101</v>
      </c>
      <c r="F25" s="6">
        <v>15</v>
      </c>
      <c r="G25" s="6" t="s">
        <v>48</v>
      </c>
    </row>
  </sheetData>
  <conditionalFormatting sqref="G2:G25">
    <cfRule type="cellIs" dxfId="1" priority="2" operator="equal">
      <formula>"Done"</formula>
    </cfRule>
    <cfRule type="cellIs" dxfId="0" priority="3" operator="equal">
      <formula>"In Progress"</formula>
    </cfRule>
  </conditionalFormatting>
  <dataValidations count="1">
    <dataValidation type="list" sqref="G2:G25" xr:uid="{00000000-0002-0000-01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workbookViewId="0">
      <pane ySplit="1" topLeftCell="A2" activePane="bottomLeft" state="frozen"/>
      <selection pane="bottomLeft" activeCell="D15" sqref="D15"/>
    </sheetView>
  </sheetViews>
  <sheetFormatPr defaultColWidth="8.6640625" defaultRowHeight="14.4" x14ac:dyDescent="0.3"/>
  <cols>
    <col min="1" max="1" width="16" customWidth="1"/>
    <col min="2" max="4" width="14" customWidth="1"/>
  </cols>
  <sheetData>
    <row r="1" spans="1:6" ht="25.5" customHeight="1" x14ac:dyDescent="0.3">
      <c r="A1" s="1" t="s">
        <v>0</v>
      </c>
      <c r="B1" s="1" t="s">
        <v>102</v>
      </c>
      <c r="C1" s="1" t="s">
        <v>103</v>
      </c>
      <c r="D1" s="1" t="s">
        <v>104</v>
      </c>
    </row>
    <row r="2" spans="1:6" x14ac:dyDescent="0.3">
      <c r="A2" s="2" t="s">
        <v>5</v>
      </c>
      <c r="B2" s="7">
        <f>COUNTIF('Weekly Plan'!$B$2:$B$25,A2)</f>
        <v>4</v>
      </c>
      <c r="C2" s="7">
        <f>COUNTIFS('Weekly Plan'!$B$2:$B$25,A2,'Weekly Plan'!$G$2:$G$25,"Done")</f>
        <v>4</v>
      </c>
      <c r="D2" s="8">
        <f t="shared" ref="D2:D8" si="0">IF(B2=0,0,C2/B2)</f>
        <v>1</v>
      </c>
    </row>
    <row r="3" spans="1:6" x14ac:dyDescent="0.3">
      <c r="A3" s="3" t="s">
        <v>10</v>
      </c>
      <c r="B3" s="9">
        <f>COUNTIF('Weekly Plan'!$B$2:$B$25,A3)</f>
        <v>4</v>
      </c>
      <c r="C3" s="9">
        <f>COUNTIFS('Weekly Plan'!$B$2:$B$25,A3,'Weekly Plan'!$G$2:$G$25,"Done")</f>
        <v>0</v>
      </c>
      <c r="D3" s="10">
        <f t="shared" si="0"/>
        <v>0</v>
      </c>
    </row>
    <row r="4" spans="1:6" x14ac:dyDescent="0.3">
      <c r="A4" s="2" t="s">
        <v>15</v>
      </c>
      <c r="B4" s="7">
        <f>COUNTIF('Weekly Plan'!$B$2:$B$25,A4)</f>
        <v>4</v>
      </c>
      <c r="C4" s="7">
        <f>COUNTIFS('Weekly Plan'!$B$2:$B$25,A4,'Weekly Plan'!$G$2:$G$25,"Done")</f>
        <v>1</v>
      </c>
      <c r="D4" s="8">
        <f t="shared" si="0"/>
        <v>0.25</v>
      </c>
    </row>
    <row r="5" spans="1:6" x14ac:dyDescent="0.3">
      <c r="A5" s="3" t="s">
        <v>20</v>
      </c>
      <c r="B5" s="9">
        <f>COUNTIF('Weekly Plan'!$B$2:$B$25,A5)</f>
        <v>4</v>
      </c>
      <c r="C5" s="9">
        <f>COUNTIFS('Weekly Plan'!$B$2:$B$25,A5,'Weekly Plan'!$G$2:$G$25,"Done")</f>
        <v>2</v>
      </c>
      <c r="D5" s="10">
        <f t="shared" si="0"/>
        <v>0.5</v>
      </c>
    </row>
    <row r="6" spans="1:6" x14ac:dyDescent="0.3">
      <c r="A6" s="2" t="s">
        <v>25</v>
      </c>
      <c r="B6" s="7">
        <f>COUNTIF('Weekly Plan'!$B$2:$B$25,A6)</f>
        <v>4</v>
      </c>
      <c r="C6" s="7">
        <f>COUNTIFS('Weekly Plan'!$B$2:$B$25,A6,'Weekly Plan'!$G$2:$G$25,"Done")</f>
        <v>0</v>
      </c>
      <c r="D6" s="8">
        <f t="shared" si="0"/>
        <v>0</v>
      </c>
    </row>
    <row r="7" spans="1:6" x14ac:dyDescent="0.3">
      <c r="A7" s="3" t="s">
        <v>30</v>
      </c>
      <c r="B7" s="9">
        <f>COUNTIF('Weekly Plan'!$B$2:$B$25,A7)</f>
        <v>4</v>
      </c>
      <c r="C7" s="9">
        <f>COUNTIFS('Weekly Plan'!$B$2:$B$25,A7,'Weekly Plan'!$G$2:$G$25,"Done")</f>
        <v>0</v>
      </c>
      <c r="D7" s="10">
        <f t="shared" si="0"/>
        <v>0</v>
      </c>
    </row>
    <row r="8" spans="1:6" x14ac:dyDescent="0.3">
      <c r="A8" s="11" t="s">
        <v>105</v>
      </c>
      <c r="B8" s="12">
        <f>SUM(B2:B7)</f>
        <v>24</v>
      </c>
      <c r="C8" s="12">
        <f>SUM(C2:C7)</f>
        <v>7</v>
      </c>
      <c r="D8" s="13">
        <f t="shared" si="0"/>
        <v>0.29166666666666669</v>
      </c>
    </row>
    <row r="10" spans="1:6" ht="15" customHeight="1" x14ac:dyDescent="0.3">
      <c r="A10" s="14" t="s">
        <v>106</v>
      </c>
      <c r="B10" s="14"/>
      <c r="C10" s="14"/>
      <c r="D10" s="14"/>
      <c r="E10" s="14"/>
      <c r="F10" s="14"/>
    </row>
    <row r="11" spans="1:6" x14ac:dyDescent="0.3">
      <c r="A11" s="14"/>
      <c r="B11" s="14"/>
      <c r="C11" s="14"/>
      <c r="D11" s="14"/>
      <c r="E11" s="14"/>
      <c r="F11" s="14"/>
    </row>
  </sheetData>
  <mergeCells count="1">
    <mergeCell ref="A10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8.6640625" defaultRowHeight="14.4" x14ac:dyDescent="0.3"/>
  <cols>
    <col min="1" max="1" width="30" customWidth="1"/>
    <col min="2" max="2" width="10" customWidth="1"/>
    <col min="3" max="3" width="42" customWidth="1"/>
    <col min="4" max="4" width="32" customWidth="1"/>
    <col min="5" max="5" width="55" customWidth="1"/>
  </cols>
  <sheetData>
    <row r="1" spans="1:5" ht="25.5" customHeight="1" x14ac:dyDescent="0.3">
      <c r="A1" s="1" t="s">
        <v>90</v>
      </c>
      <c r="B1" s="1" t="s">
        <v>107</v>
      </c>
      <c r="C1" s="1" t="s">
        <v>108</v>
      </c>
      <c r="D1" s="1" t="s">
        <v>109</v>
      </c>
      <c r="E1" s="1" t="s">
        <v>110</v>
      </c>
    </row>
    <row r="2" spans="1:5" ht="43.5" customHeight="1" x14ac:dyDescent="0.3">
      <c r="A2" s="2" t="s">
        <v>111</v>
      </c>
      <c r="B2" s="2" t="s">
        <v>5</v>
      </c>
      <c r="C2" s="2" t="s">
        <v>112</v>
      </c>
      <c r="D2" s="2" t="s">
        <v>113</v>
      </c>
      <c r="E2" s="2" t="s">
        <v>114</v>
      </c>
    </row>
    <row r="3" spans="1:5" ht="43.5" customHeight="1" x14ac:dyDescent="0.3">
      <c r="A3" s="3" t="s">
        <v>115</v>
      </c>
      <c r="B3" s="3" t="s">
        <v>10</v>
      </c>
      <c r="C3" s="3" t="s">
        <v>116</v>
      </c>
      <c r="D3" s="3" t="s">
        <v>117</v>
      </c>
      <c r="E3" s="3" t="s">
        <v>118</v>
      </c>
    </row>
    <row r="4" spans="1:5" ht="43.5" customHeight="1" x14ac:dyDescent="0.3">
      <c r="A4" s="2" t="s">
        <v>119</v>
      </c>
      <c r="B4" s="2" t="s">
        <v>15</v>
      </c>
      <c r="C4" s="2" t="s">
        <v>120</v>
      </c>
      <c r="D4" s="2" t="s">
        <v>121</v>
      </c>
      <c r="E4" s="2" t="s">
        <v>122</v>
      </c>
    </row>
    <row r="5" spans="1:5" ht="43.5" customHeight="1" x14ac:dyDescent="0.3">
      <c r="A5" s="3" t="s">
        <v>123</v>
      </c>
      <c r="B5" s="3" t="s">
        <v>20</v>
      </c>
      <c r="C5" s="3" t="s">
        <v>124</v>
      </c>
      <c r="D5" s="3" t="s">
        <v>125</v>
      </c>
      <c r="E5" s="3" t="s">
        <v>126</v>
      </c>
    </row>
    <row r="6" spans="1:5" ht="43.5" customHeight="1" x14ac:dyDescent="0.3">
      <c r="A6" s="2" t="s">
        <v>127</v>
      </c>
      <c r="B6" s="2" t="s">
        <v>25</v>
      </c>
      <c r="C6" s="2" t="s">
        <v>128</v>
      </c>
      <c r="D6" s="2" t="s">
        <v>129</v>
      </c>
      <c r="E6" s="2" t="s">
        <v>130</v>
      </c>
    </row>
    <row r="8" spans="1:5" x14ac:dyDescent="0.3">
      <c r="A8" s="16" t="s">
        <v>131</v>
      </c>
      <c r="B8" s="16"/>
      <c r="C8" s="16"/>
      <c r="D8" s="16"/>
      <c r="E8" s="16"/>
    </row>
  </sheetData>
  <mergeCells count="1"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1" width="18" customWidth="1"/>
    <col min="2" max="2" width="85" customWidth="1"/>
    <col min="3" max="3" width="10" customWidth="1"/>
  </cols>
  <sheetData>
    <row r="1" spans="1:3" ht="25.5" customHeight="1" x14ac:dyDescent="0.3">
      <c r="A1" s="1" t="s">
        <v>132</v>
      </c>
      <c r="B1" s="1" t="s">
        <v>133</v>
      </c>
      <c r="C1" s="1" t="s">
        <v>134</v>
      </c>
    </row>
    <row r="2" spans="1:3" ht="30" customHeight="1" x14ac:dyDescent="0.3">
      <c r="A2" s="2" t="s">
        <v>45</v>
      </c>
      <c r="B2" s="2" t="s">
        <v>135</v>
      </c>
      <c r="C2" s="2" t="s">
        <v>136</v>
      </c>
    </row>
    <row r="3" spans="1:3" ht="30" customHeight="1" x14ac:dyDescent="0.3">
      <c r="A3" s="3" t="s">
        <v>53</v>
      </c>
      <c r="B3" s="3" t="s">
        <v>137</v>
      </c>
      <c r="C3" s="3" t="s">
        <v>136</v>
      </c>
    </row>
    <row r="4" spans="1:3" ht="30" customHeight="1" x14ac:dyDescent="0.3">
      <c r="A4" s="2" t="s">
        <v>16</v>
      </c>
      <c r="B4" s="2" t="s">
        <v>138</v>
      </c>
      <c r="C4" s="2" t="s">
        <v>136</v>
      </c>
    </row>
    <row r="5" spans="1:3" ht="30" customHeight="1" x14ac:dyDescent="0.3">
      <c r="A5" s="3" t="s">
        <v>73</v>
      </c>
      <c r="B5" s="3" t="s">
        <v>139</v>
      </c>
      <c r="C5" s="3" t="s">
        <v>136</v>
      </c>
    </row>
    <row r="6" spans="1:3" ht="30" customHeight="1" x14ac:dyDescent="0.3">
      <c r="A6" s="2" t="s">
        <v>82</v>
      </c>
      <c r="B6" s="2" t="s">
        <v>140</v>
      </c>
      <c r="C6" s="2" t="s">
        <v>136</v>
      </c>
    </row>
    <row r="7" spans="1:3" ht="30" customHeight="1" x14ac:dyDescent="0.3">
      <c r="A7" s="3" t="s">
        <v>141</v>
      </c>
      <c r="B7" s="3" t="s">
        <v>142</v>
      </c>
      <c r="C7" s="3" t="s">
        <v>136</v>
      </c>
    </row>
    <row r="8" spans="1:3" ht="30" customHeight="1" x14ac:dyDescent="0.3">
      <c r="A8" s="2" t="s">
        <v>143</v>
      </c>
      <c r="B8" s="2" t="s">
        <v>144</v>
      </c>
      <c r="C8" s="2" t="s">
        <v>136</v>
      </c>
    </row>
    <row r="9" spans="1:3" ht="30" customHeight="1" x14ac:dyDescent="0.3">
      <c r="A9" s="3" t="s">
        <v>145</v>
      </c>
      <c r="B9" s="3" t="s">
        <v>146</v>
      </c>
      <c r="C9" s="3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80" customWidth="1"/>
    <col min="3" max="3" width="46" customWidth="1"/>
  </cols>
  <sheetData>
    <row r="1" spans="1:3" ht="25.5" customHeight="1" x14ac:dyDescent="0.3">
      <c r="A1" s="1" t="s">
        <v>147</v>
      </c>
      <c r="B1" s="1" t="s">
        <v>148</v>
      </c>
      <c r="C1" s="1" t="s">
        <v>149</v>
      </c>
    </row>
    <row r="2" spans="1:3" ht="43.5" customHeight="1" x14ac:dyDescent="0.3">
      <c r="A2" s="2" t="s">
        <v>45</v>
      </c>
      <c r="B2" s="2" t="s">
        <v>150</v>
      </c>
      <c r="C2" s="2" t="s">
        <v>151</v>
      </c>
    </row>
    <row r="3" spans="1:3" ht="43.5" customHeight="1" x14ac:dyDescent="0.3">
      <c r="A3" s="3" t="s">
        <v>53</v>
      </c>
      <c r="B3" s="3" t="s">
        <v>152</v>
      </c>
      <c r="C3" s="3" t="s">
        <v>153</v>
      </c>
    </row>
    <row r="4" spans="1:3" ht="43.5" customHeight="1" x14ac:dyDescent="0.3">
      <c r="A4" s="2" t="s">
        <v>64</v>
      </c>
      <c r="B4" s="2" t="s">
        <v>154</v>
      </c>
      <c r="C4" s="2" t="s">
        <v>155</v>
      </c>
    </row>
    <row r="5" spans="1:3" ht="43.5" customHeight="1" x14ac:dyDescent="0.3">
      <c r="A5" s="3" t="s">
        <v>73</v>
      </c>
      <c r="B5" s="3" t="s">
        <v>156</v>
      </c>
      <c r="C5" s="3" t="s">
        <v>157</v>
      </c>
    </row>
    <row r="6" spans="1:3" ht="43.5" customHeight="1" x14ac:dyDescent="0.3">
      <c r="A6" s="2" t="s">
        <v>82</v>
      </c>
      <c r="B6" s="2" t="s">
        <v>158</v>
      </c>
      <c r="C6" s="2" t="s">
        <v>159</v>
      </c>
    </row>
    <row r="7" spans="1:3" ht="43.5" customHeight="1" x14ac:dyDescent="0.3">
      <c r="A7" s="3" t="s">
        <v>160</v>
      </c>
      <c r="B7" s="3" t="s">
        <v>161</v>
      </c>
      <c r="C7" s="3" t="s">
        <v>162</v>
      </c>
    </row>
    <row r="8" spans="1:3" ht="43.5" customHeight="1" x14ac:dyDescent="0.3">
      <c r="A8" s="2" t="s">
        <v>163</v>
      </c>
      <c r="B8" s="2" t="s">
        <v>164</v>
      </c>
      <c r="C8" s="2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Roadmap</vt:lpstr>
      <vt:lpstr>Weekly Plan</vt:lpstr>
      <vt:lpstr>Progress</vt:lpstr>
      <vt:lpstr>Projects</vt:lpstr>
      <vt:lpstr>Resources</vt:lpstr>
      <vt:lpstr>Interview 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Pappu Kumar</cp:lastModifiedBy>
  <cp:revision>0</cp:revision>
  <dcterms:created xsi:type="dcterms:W3CDTF">2026-09-28T04:08:56Z</dcterms:created>
  <dcterms:modified xsi:type="dcterms:W3CDTF">2026-10-25T14:48:55Z</dcterms:modified>
  <dc:language>en-US</dc:language>
</cp:coreProperties>
</file>